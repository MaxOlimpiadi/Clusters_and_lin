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\INTERNSHIP PROJECTS\UPDATED_Clusters_and_lin\"/>
    </mc:Choice>
  </mc:AlternateContent>
  <xr:revisionPtr revIDLastSave="0" documentId="13_ncr:1_{9716C593-7B35-4124-BDFD-6E58195D7108}" xr6:coauthVersionLast="47" xr6:coauthVersionMax="47" xr10:uidLastSave="{00000000-0000-0000-0000-000000000000}"/>
  <bookViews>
    <workbookView xWindow="-98" yWindow="-98" windowWidth="21795" windowHeight="11625" xr2:uid="{28DA6785-7A35-424C-8B86-1C29AD5A5A9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2" l="1"/>
  <c r="I17" i="2"/>
  <c r="I18" i="2"/>
  <c r="I19" i="2"/>
  <c r="I15" i="2"/>
  <c r="H19" i="2"/>
  <c r="G19" i="2"/>
  <c r="C19" i="2"/>
  <c r="B19" i="2"/>
  <c r="I6" i="2"/>
  <c r="I6" i="1"/>
</calcChain>
</file>

<file path=xl/sharedStrings.xml><?xml version="1.0" encoding="utf-8"?>
<sst xmlns="http://schemas.openxmlformats.org/spreadsheetml/2006/main" count="42" uniqueCount="23">
  <si>
    <t>pharases_with_no_participants</t>
  </si>
  <si>
    <t>missed_mentions</t>
  </si>
  <si>
    <t>file</t>
  </si>
  <si>
    <t>Das Erdbeben in Chili.json</t>
  </si>
  <si>
    <t>Der blonde Eckbert.json</t>
  </si>
  <si>
    <t>Die Verwandlung.json</t>
  </si>
  <si>
    <t>Krambambuli.json</t>
  </si>
  <si>
    <t>__TOTAL__</t>
  </si>
  <si>
    <t>mentions</t>
  </si>
  <si>
    <t>participations</t>
  </si>
  <si>
    <t>participants</t>
  </si>
  <si>
    <t>empty_parts</t>
  </si>
  <si>
    <t>comp_missed_parts</t>
  </si>
  <si>
    <t>empty_phrases</t>
  </si>
  <si>
    <t>missed mentions совпадает с кол-вом кейсов когда чел за рамками партисипейшена</t>
  </si>
  <si>
    <t>по чанкам</t>
  </si>
  <si>
    <t>completely outside chunk mentions</t>
  </si>
  <si>
    <t>partly outside chunk</t>
  </si>
  <si>
    <t>outside_m по персам</t>
  </si>
  <si>
    <t>background_char</t>
  </si>
  <si>
    <t>crowd</t>
  </si>
  <si>
    <t>% of outside m</t>
  </si>
  <si>
    <t>Avg tokens per sentences: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</si>
</sst>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0" fillId="2" borderId="0" xfId="0" applyFill="1"/>
    <xf numFmtId="0" fontId="3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8F3F-AEB9-48F6-96BA-E923F9318357}">
  <dimension ref="A1:J22"/>
  <sheetViews>
    <sheetView tabSelected="1" workbookViewId="0">
      <selection activeCell="E17" sqref="E17"/>
    </sheetView>
  </sheetViews>
  <sheetFormatPr defaultRowHeight="14.25" x14ac:dyDescent="0.45"/>
  <cols>
    <col min="2" max="2" width="16.1328125" customWidth="1"/>
    <col min="3" max="3" width="11.6640625" customWidth="1"/>
    <col min="4" max="4" width="14.6640625" customWidth="1"/>
    <col min="5" max="5" width="14.796875" customWidth="1"/>
    <col min="6" max="6" width="16.46484375" customWidth="1"/>
    <col min="7" max="7" width="18.265625" customWidth="1"/>
    <col min="8" max="8" width="24.46484375" customWidth="1"/>
    <col min="9" max="9" width="16" customWidth="1"/>
    <col min="10" max="10" width="48.3984375" customWidth="1"/>
    <col min="11" max="11" width="29.6640625" customWidth="1"/>
  </cols>
  <sheetData>
    <row r="1" spans="1:10" x14ac:dyDescent="0.45">
      <c r="A1" s="4" t="s">
        <v>2</v>
      </c>
      <c r="B1" s="4" t="s">
        <v>8</v>
      </c>
      <c r="C1" s="4" t="s">
        <v>9</v>
      </c>
      <c r="D1" s="4" t="s">
        <v>10</v>
      </c>
      <c r="E1" s="5" t="s">
        <v>11</v>
      </c>
      <c r="F1" s="4" t="s">
        <v>1</v>
      </c>
      <c r="G1" s="4" t="s">
        <v>12</v>
      </c>
      <c r="I1" s="7" t="s">
        <v>13</v>
      </c>
      <c r="J1" s="4"/>
    </row>
    <row r="2" spans="1:10" x14ac:dyDescent="0.45">
      <c r="A2" t="s">
        <v>3</v>
      </c>
      <c r="B2">
        <v>1064</v>
      </c>
      <c r="C2">
        <v>627</v>
      </c>
      <c r="D2">
        <v>934</v>
      </c>
      <c r="E2" s="6">
        <v>86</v>
      </c>
      <c r="F2">
        <v>218</v>
      </c>
      <c r="G2">
        <v>81</v>
      </c>
      <c r="I2" s="6">
        <v>87</v>
      </c>
    </row>
    <row r="3" spans="1:10" x14ac:dyDescent="0.45">
      <c r="A3" t="s">
        <v>4</v>
      </c>
      <c r="B3">
        <v>1201</v>
      </c>
      <c r="C3">
        <v>259</v>
      </c>
      <c r="D3">
        <v>328</v>
      </c>
      <c r="E3" s="6">
        <v>29</v>
      </c>
      <c r="F3">
        <v>51</v>
      </c>
      <c r="G3">
        <v>26</v>
      </c>
      <c r="I3" s="6">
        <v>29</v>
      </c>
    </row>
    <row r="4" spans="1:10" x14ac:dyDescent="0.45">
      <c r="A4" t="s">
        <v>5</v>
      </c>
      <c r="B4">
        <v>2884</v>
      </c>
      <c r="C4">
        <v>1992</v>
      </c>
      <c r="D4">
        <v>2435</v>
      </c>
      <c r="E4" s="6">
        <v>199</v>
      </c>
      <c r="F4">
        <v>615</v>
      </c>
      <c r="G4">
        <v>398</v>
      </c>
      <c r="I4" s="6">
        <v>201</v>
      </c>
    </row>
    <row r="5" spans="1:10" x14ac:dyDescent="0.45">
      <c r="A5" t="s">
        <v>6</v>
      </c>
      <c r="B5">
        <v>628</v>
      </c>
      <c r="C5">
        <v>477</v>
      </c>
      <c r="D5">
        <v>580</v>
      </c>
      <c r="E5" s="6">
        <v>69</v>
      </c>
      <c r="F5">
        <v>157</v>
      </c>
      <c r="G5">
        <v>100</v>
      </c>
      <c r="I5" s="6">
        <v>71</v>
      </c>
    </row>
    <row r="6" spans="1:10" x14ac:dyDescent="0.45">
      <c r="A6" t="s">
        <v>7</v>
      </c>
      <c r="B6">
        <v>5777</v>
      </c>
      <c r="C6">
        <v>3355</v>
      </c>
      <c r="D6">
        <v>4277</v>
      </c>
      <c r="E6" s="6">
        <v>383</v>
      </c>
      <c r="F6">
        <v>1041</v>
      </c>
      <c r="G6">
        <v>605</v>
      </c>
      <c r="I6" s="6">
        <f>SUM(I1:I5)</f>
        <v>388</v>
      </c>
    </row>
    <row r="12" spans="1:10" x14ac:dyDescent="0.45">
      <c r="A12" t="s">
        <v>15</v>
      </c>
      <c r="F12" t="s">
        <v>18</v>
      </c>
      <c r="J12" t="s">
        <v>14</v>
      </c>
    </row>
    <row r="14" spans="1:10" x14ac:dyDescent="0.45">
      <c r="A14" s="4" t="s">
        <v>2</v>
      </c>
      <c r="B14" s="9" t="s">
        <v>16</v>
      </c>
      <c r="C14" s="9" t="s">
        <v>17</v>
      </c>
      <c r="F14" s="4" t="s">
        <v>2</v>
      </c>
      <c r="G14" s="4" t="s">
        <v>20</v>
      </c>
      <c r="H14" s="4" t="s">
        <v>19</v>
      </c>
      <c r="I14" s="4" t="s">
        <v>21</v>
      </c>
    </row>
    <row r="15" spans="1:10" x14ac:dyDescent="0.45">
      <c r="A15" s="8" t="s">
        <v>3</v>
      </c>
      <c r="B15" s="8">
        <v>14</v>
      </c>
      <c r="C15" s="8">
        <v>0</v>
      </c>
      <c r="F15" s="8" t="s">
        <v>3</v>
      </c>
      <c r="G15" s="8">
        <v>27</v>
      </c>
      <c r="H15" s="8">
        <v>49</v>
      </c>
      <c r="I15" s="10">
        <f>(G15+H15)/F2</f>
        <v>0.34862385321100919</v>
      </c>
    </row>
    <row r="16" spans="1:10" x14ac:dyDescent="0.45">
      <c r="A16" s="8" t="s">
        <v>4</v>
      </c>
      <c r="B16" s="8">
        <v>3</v>
      </c>
      <c r="C16" s="8">
        <v>0</v>
      </c>
      <c r="F16" s="8" t="s">
        <v>4</v>
      </c>
      <c r="G16" s="8">
        <v>1</v>
      </c>
      <c r="H16" s="8">
        <v>6</v>
      </c>
      <c r="I16" s="10">
        <f t="shared" ref="I16:I19" si="0">(G16+H16)/F3</f>
        <v>0.13725490196078433</v>
      </c>
    </row>
    <row r="17" spans="1:9" x14ac:dyDescent="0.45">
      <c r="A17" s="8" t="s">
        <v>5</v>
      </c>
      <c r="B17" s="8">
        <v>43</v>
      </c>
      <c r="C17" s="8">
        <v>0</v>
      </c>
      <c r="F17" s="8" t="s">
        <v>5</v>
      </c>
      <c r="G17" s="8">
        <v>8</v>
      </c>
      <c r="H17" s="8">
        <v>77</v>
      </c>
      <c r="I17" s="10">
        <f t="shared" si="0"/>
        <v>0.13821138211382114</v>
      </c>
    </row>
    <row r="18" spans="1:9" x14ac:dyDescent="0.45">
      <c r="A18" s="8" t="s">
        <v>6</v>
      </c>
      <c r="B18" s="8">
        <v>10</v>
      </c>
      <c r="C18" s="8">
        <v>0</v>
      </c>
      <c r="F18" s="8" t="s">
        <v>6</v>
      </c>
      <c r="G18" s="8">
        <v>12</v>
      </c>
      <c r="H18" s="8">
        <v>25</v>
      </c>
      <c r="I18" s="10">
        <f t="shared" si="0"/>
        <v>0.2356687898089172</v>
      </c>
    </row>
    <row r="19" spans="1:9" x14ac:dyDescent="0.45">
      <c r="A19" s="8" t="s">
        <v>7</v>
      </c>
      <c r="B19" s="8">
        <f>SUM(B15:B18)</f>
        <v>70</v>
      </c>
      <c r="C19" s="8">
        <f>SUM(C15:C18)</f>
        <v>0</v>
      </c>
      <c r="F19" s="8" t="s">
        <v>7</v>
      </c>
      <c r="G19" s="8">
        <f>SUM(G15:G18)</f>
        <v>48</v>
      </c>
      <c r="H19" s="8">
        <f>SUM(H15:H18)</f>
        <v>157</v>
      </c>
      <c r="I19" s="10">
        <f t="shared" si="0"/>
        <v>0.19692603266090297</v>
      </c>
    </row>
    <row r="22" spans="1:9" x14ac:dyDescent="0.45">
      <c r="A2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F214-42FA-4B2D-A321-36B1483DFDCD}">
  <dimension ref="A1:I6"/>
  <sheetViews>
    <sheetView workbookViewId="0">
      <selection activeCell="J11" sqref="J11"/>
    </sheetView>
  </sheetViews>
  <sheetFormatPr defaultRowHeight="14.25" x14ac:dyDescent="0.45"/>
  <cols>
    <col min="1" max="1" width="25.33203125" customWidth="1"/>
    <col min="6" max="6" width="19.06640625" customWidth="1"/>
    <col min="9" max="9" width="37.59765625" customWidth="1"/>
  </cols>
  <sheetData>
    <row r="1" spans="1:9" x14ac:dyDescent="0.45">
      <c r="A1" s="3" t="s">
        <v>2</v>
      </c>
      <c r="F1" s="3" t="s">
        <v>1</v>
      </c>
      <c r="I1" s="1" t="s">
        <v>0</v>
      </c>
    </row>
    <row r="2" spans="1:9" x14ac:dyDescent="0.45">
      <c r="A2" t="s">
        <v>3</v>
      </c>
      <c r="F2">
        <v>46</v>
      </c>
      <c r="I2" s="2">
        <v>167</v>
      </c>
    </row>
    <row r="3" spans="1:9" x14ac:dyDescent="0.45">
      <c r="A3" t="s">
        <v>4</v>
      </c>
      <c r="F3">
        <v>21</v>
      </c>
      <c r="I3" s="2">
        <v>55</v>
      </c>
    </row>
    <row r="4" spans="1:9" x14ac:dyDescent="0.45">
      <c r="A4" t="s">
        <v>5</v>
      </c>
      <c r="F4">
        <v>348</v>
      </c>
      <c r="I4" s="2">
        <v>597</v>
      </c>
    </row>
    <row r="5" spans="1:9" x14ac:dyDescent="0.45">
      <c r="A5" t="s">
        <v>6</v>
      </c>
      <c r="F5">
        <v>88</v>
      </c>
      <c r="I5" s="2">
        <v>169</v>
      </c>
    </row>
    <row r="6" spans="1:9" x14ac:dyDescent="0.45">
      <c r="A6" t="s">
        <v>7</v>
      </c>
      <c r="F6">
        <v>503</v>
      </c>
      <c r="I6" s="2">
        <f>SUM(I2:I5)</f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Олимпиади</dc:creator>
  <cp:lastModifiedBy>Максим Олимпиади</cp:lastModifiedBy>
  <dcterms:created xsi:type="dcterms:W3CDTF">2025-11-20T03:31:43Z</dcterms:created>
  <dcterms:modified xsi:type="dcterms:W3CDTF">2025-12-01T04:19:14Z</dcterms:modified>
</cp:coreProperties>
</file>